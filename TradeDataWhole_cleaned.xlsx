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reesha Firdaus\Downloads\"/>
    </mc:Choice>
  </mc:AlternateContent>
  <xr:revisionPtr revIDLastSave="0" documentId="13_ncr:1_{85EA046F-63EA-41E3-AD39-4672257846AB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TradeData" sheetId="1" r:id="rId1"/>
    <sheet name="DisruptionModel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" i="2" l="1"/>
  <c r="E5" i="2"/>
  <c r="E6" i="2"/>
  <c r="E3" i="2"/>
  <c r="D4" i="2"/>
  <c r="D5" i="2"/>
  <c r="D6" i="2"/>
  <c r="D3" i="2"/>
  <c r="C4" i="2"/>
  <c r="C5" i="2"/>
  <c r="C6" i="2"/>
  <c r="C3" i="2"/>
  <c r="G14" i="1"/>
</calcChain>
</file>

<file path=xl/sharedStrings.xml><?xml version="1.0" encoding="utf-8"?>
<sst xmlns="http://schemas.openxmlformats.org/spreadsheetml/2006/main" count="27" uniqueCount="27">
  <si>
    <t>Year</t>
  </si>
  <si>
    <t>China</t>
  </si>
  <si>
    <t>Singapore</t>
  </si>
  <si>
    <t>South Korea</t>
  </si>
  <si>
    <t>USA</t>
  </si>
  <si>
    <t>Viet Nam</t>
  </si>
  <si>
    <t>total</t>
  </si>
  <si>
    <t>S.Korea_YoY_change_%</t>
  </si>
  <si>
    <t>China_YoY_change_%</t>
  </si>
  <si>
    <t>Singapore_YoY_change_%</t>
  </si>
  <si>
    <t>Vietnam_YoY_change_%</t>
  </si>
  <si>
    <t>USA_YoY_change_%</t>
  </si>
  <si>
    <t>Disruption Model</t>
  </si>
  <si>
    <t>Disruption level</t>
  </si>
  <si>
    <t>Disruption %</t>
  </si>
  <si>
    <t>30 day impact</t>
  </si>
  <si>
    <t>partial</t>
  </si>
  <si>
    <t>moderate</t>
  </si>
  <si>
    <t>severe</t>
  </si>
  <si>
    <t>full stoppage</t>
  </si>
  <si>
    <t>Supply at risk annually ($B)</t>
  </si>
  <si>
    <t>Supply at risk annually</t>
  </si>
  <si>
    <t>Monthly Cost($M)</t>
  </si>
  <si>
    <t>Spot shortages</t>
  </si>
  <si>
    <t>Production stops</t>
  </si>
  <si>
    <t>Sectoral Crisis</t>
  </si>
  <si>
    <t>System-wide shortage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</si>
</sst>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5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medium">
        <color indexed="64"/>
      </left>
      <right/>
      <top style="medium">
        <color indexed="64"/>
      </top>
      <bottom style="thick">
        <color theme="4"/>
      </bottom>
      <diagonal/>
    </border>
    <border>
      <left/>
      <right/>
      <top style="medium">
        <color indexed="64"/>
      </top>
      <bottom style="thick">
        <color theme="4"/>
      </bottom>
      <diagonal/>
    </border>
    <border>
      <left/>
      <right style="medium">
        <color indexed="64"/>
      </right>
      <top style="medium">
        <color indexed="64"/>
      </top>
      <bottom style="thick">
        <color theme="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ck">
        <color theme="4"/>
      </top>
      <bottom style="thin">
        <color indexed="64"/>
      </bottom>
      <diagonal/>
    </border>
    <border>
      <left/>
      <right/>
      <top style="thick">
        <color theme="4"/>
      </top>
      <bottom style="thin">
        <color indexed="64"/>
      </bottom>
      <diagonal/>
    </border>
    <border>
      <left/>
      <right style="medium">
        <color indexed="64"/>
      </right>
      <top style="thick">
        <color theme="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</borders>
  <cellStyleXfs count="2">
    <xf numFmtId="0" fontId="0" fillId="0" borderId="0"/>
    <xf numFmtId="0" fontId="2" fillId="0" borderId="1" applyNumberFormat="0" applyFill="0" applyAlignment="0" applyProtection="0"/>
  </cellStyleXfs>
  <cellXfs count="18">
    <xf numFmtId="0" fontId="0" fillId="0" borderId="0" xfId="0"/>
    <xf numFmtId="0" fontId="2" fillId="0" borderId="2" xfId="1" applyBorder="1" applyAlignment="1">
      <alignment horizontal="center"/>
    </xf>
    <xf numFmtId="0" fontId="2" fillId="0" borderId="3" xfId="1" applyBorder="1" applyAlignment="1">
      <alignment horizontal="center"/>
    </xf>
    <xf numFmtId="0" fontId="2" fillId="0" borderId="4" xfId="1" applyBorder="1" applyAlignment="1">
      <alignment horizontal="center"/>
    </xf>
    <xf numFmtId="9" fontId="0" fillId="0" borderId="5" xfId="0" applyNumberFormat="1" applyBorder="1"/>
    <xf numFmtId="0" fontId="0" fillId="0" borderId="0" xfId="0" applyBorder="1"/>
    <xf numFmtId="0" fontId="0" fillId="0" borderId="6" xfId="0" applyBorder="1"/>
    <xf numFmtId="9" fontId="0" fillId="0" borderId="7" xfId="0" applyNumberFormat="1" applyBorder="1"/>
    <xf numFmtId="0" fontId="0" fillId="0" borderId="8" xfId="0" applyBorder="1"/>
    <xf numFmtId="0" fontId="0" fillId="0" borderId="9" xfId="0" applyBorder="1"/>
    <xf numFmtId="0" fontId="3" fillId="0" borderId="10" xfId="0" applyFont="1" applyBorder="1"/>
    <xf numFmtId="0" fontId="3" fillId="0" borderId="11" xfId="0" applyFont="1" applyBorder="1"/>
    <xf numFmtId="0" fontId="3" fillId="0" borderId="12" xfId="0" applyFont="1" applyBorder="1"/>
    <xf numFmtId="0" fontId="1" fillId="0" borderId="13" xfId="0" applyFont="1" applyBorder="1" applyAlignment="1">
      <alignment horizontal="center" vertical="top"/>
    </xf>
    <xf numFmtId="0" fontId="1" fillId="0" borderId="14" xfId="0" applyFont="1" applyBorder="1" applyAlignment="1">
      <alignment horizontal="center" vertical="top"/>
    </xf>
    <xf numFmtId="0" fontId="1" fillId="0" borderId="15" xfId="0" applyFont="1" applyBorder="1" applyAlignment="1">
      <alignment horizontal="center" vertical="top"/>
    </xf>
    <xf numFmtId="0" fontId="1" fillId="0" borderId="16" xfId="0" applyFont="1" applyBorder="1" applyAlignment="1">
      <alignment horizontal="center" vertical="top"/>
    </xf>
    <xf numFmtId="0" fontId="1" fillId="0" borderId="17" xfId="0" applyFont="1" applyBorder="1" applyAlignment="1">
      <alignment horizontal="center" vertical="top"/>
    </xf>
  </cellXfs>
  <cellStyles count="2">
    <cellStyle name="Heading 1" xfId="1" builtinId="1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"/>
  <sheetViews>
    <sheetView workbookViewId="0">
      <selection activeCell="D21" sqref="D21"/>
    </sheetView>
  </sheetViews>
  <sheetFormatPr defaultRowHeight="14.4" x14ac:dyDescent="0.3"/>
  <cols>
    <col min="8" max="8" width="21.44140625" bestFit="1" customWidth="1"/>
    <col min="9" max="9" width="19.6640625" bestFit="1" customWidth="1"/>
    <col min="10" max="10" width="23.44140625" bestFit="1" customWidth="1"/>
    <col min="11" max="11" width="22.109375" bestFit="1" customWidth="1"/>
    <col min="12" max="12" width="18.44140625" bestFit="1" customWidth="1"/>
  </cols>
  <sheetData>
    <row r="1" spans="1:12" x14ac:dyDescent="0.3">
      <c r="A1" s="13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4" t="s">
        <v>10</v>
      </c>
      <c r="L1" s="15" t="s">
        <v>11</v>
      </c>
    </row>
    <row r="2" spans="1:12" x14ac:dyDescent="0.3">
      <c r="A2" s="16">
        <v>2013</v>
      </c>
      <c r="B2" s="5">
        <v>1.3253773680000001</v>
      </c>
      <c r="C2" s="5">
        <v>0.38382380900000002</v>
      </c>
      <c r="D2" s="5">
        <v>0.228098895</v>
      </c>
      <c r="E2" s="5">
        <v>0.12704921399999999</v>
      </c>
      <c r="F2" s="5">
        <v>9.2725899999999994E-4</v>
      </c>
      <c r="G2" s="5">
        <v>2.0652765450000001</v>
      </c>
      <c r="H2" s="5"/>
      <c r="I2" s="5"/>
      <c r="J2" s="5"/>
      <c r="K2" s="5"/>
      <c r="L2" s="6"/>
    </row>
    <row r="3" spans="1:12" x14ac:dyDescent="0.3">
      <c r="A3" s="16">
        <v>2014</v>
      </c>
      <c r="B3" s="5">
        <v>1.107883876</v>
      </c>
      <c r="C3" s="5">
        <v>0.282553153</v>
      </c>
      <c r="D3" s="5">
        <v>0.202361653</v>
      </c>
      <c r="E3" s="5">
        <v>0.1028502</v>
      </c>
      <c r="F3" s="5">
        <v>3.0433859999999999E-3</v>
      </c>
      <c r="G3" s="5">
        <v>1.6986922680000001</v>
      </c>
      <c r="H3" s="5">
        <v>-11.28</v>
      </c>
      <c r="I3" s="5">
        <v>-16.41</v>
      </c>
      <c r="J3" s="5">
        <v>-26.38</v>
      </c>
      <c r="K3" s="5">
        <v>228.21</v>
      </c>
      <c r="L3" s="6">
        <v>-19.05</v>
      </c>
    </row>
    <row r="4" spans="1:12" x14ac:dyDescent="0.3">
      <c r="A4" s="16">
        <v>2015</v>
      </c>
      <c r="B4" s="5">
        <v>2.2907948170000001</v>
      </c>
      <c r="C4" s="5">
        <v>0.25147439300000002</v>
      </c>
      <c r="D4" s="5">
        <v>0.27798587299999999</v>
      </c>
      <c r="E4" s="5">
        <v>0.11011212500000001</v>
      </c>
      <c r="F4" s="5">
        <v>4.0182350000000002E-3</v>
      </c>
      <c r="G4" s="5">
        <v>2.934385443</v>
      </c>
      <c r="H4" s="5">
        <v>37.369999999999997</v>
      </c>
      <c r="I4" s="5">
        <v>106.77</v>
      </c>
      <c r="J4" s="5">
        <v>-11</v>
      </c>
      <c r="K4" s="5">
        <v>32.03</v>
      </c>
      <c r="L4" s="6">
        <v>7.06</v>
      </c>
    </row>
    <row r="5" spans="1:12" x14ac:dyDescent="0.3">
      <c r="A5" s="16">
        <v>2016</v>
      </c>
      <c r="B5" s="5">
        <v>3.3531645939999999</v>
      </c>
      <c r="C5" s="5">
        <v>0.26399615900000001</v>
      </c>
      <c r="D5" s="5">
        <v>0.376442424</v>
      </c>
      <c r="E5" s="5">
        <v>7.5912310000000011E-2</v>
      </c>
      <c r="F5" s="5">
        <v>7.0354800000000002E-3</v>
      </c>
      <c r="G5" s="5">
        <v>4.0765509670000002</v>
      </c>
      <c r="H5" s="5">
        <v>35.42</v>
      </c>
      <c r="I5" s="5">
        <v>46.38</v>
      </c>
      <c r="J5" s="5">
        <v>4.9800000000000004</v>
      </c>
      <c r="K5" s="5">
        <v>75.09</v>
      </c>
      <c r="L5" s="6">
        <v>-31.06</v>
      </c>
    </row>
    <row r="6" spans="1:12" x14ac:dyDescent="0.3">
      <c r="A6" s="16">
        <v>2017</v>
      </c>
      <c r="B6" s="5">
        <v>4.7396792907430001</v>
      </c>
      <c r="C6" s="5">
        <v>0.32064731486199999</v>
      </c>
      <c r="D6" s="5">
        <v>0.51750856633200004</v>
      </c>
      <c r="E6" s="5">
        <v>7.5850281739999997E-2</v>
      </c>
      <c r="F6" s="5">
        <v>4.2778907855999998E-2</v>
      </c>
      <c r="G6" s="5">
        <v>5.6964643615330006</v>
      </c>
      <c r="H6" s="5">
        <v>37.47</v>
      </c>
      <c r="I6" s="5">
        <v>41.35</v>
      </c>
      <c r="J6" s="5">
        <v>21.46</v>
      </c>
      <c r="K6" s="5">
        <v>508.05</v>
      </c>
      <c r="L6" s="6">
        <v>-0.08</v>
      </c>
    </row>
    <row r="7" spans="1:12" x14ac:dyDescent="0.3">
      <c r="A7" s="16">
        <v>2018</v>
      </c>
      <c r="B7" s="5">
        <v>4.8462640167659998</v>
      </c>
      <c r="C7" s="5">
        <v>0.99582292743899992</v>
      </c>
      <c r="D7" s="5">
        <v>1.0330164489410001</v>
      </c>
      <c r="E7" s="5">
        <v>0.14571352812400001</v>
      </c>
      <c r="F7" s="5">
        <v>7.0916442687000009E-2</v>
      </c>
      <c r="G7" s="5">
        <v>7.0917333639570002</v>
      </c>
      <c r="H7" s="5">
        <v>99.61</v>
      </c>
      <c r="I7" s="5">
        <v>2.25</v>
      </c>
      <c r="J7" s="5">
        <v>210.57</v>
      </c>
      <c r="K7" s="5">
        <v>65.77</v>
      </c>
      <c r="L7" s="6">
        <v>92.11</v>
      </c>
    </row>
    <row r="8" spans="1:12" x14ac:dyDescent="0.3">
      <c r="A8" s="16">
        <v>2019</v>
      </c>
      <c r="B8" s="5">
        <v>5.5972245313620004</v>
      </c>
      <c r="C8" s="5">
        <v>1.14345479996</v>
      </c>
      <c r="D8" s="5">
        <v>1.507732729555</v>
      </c>
      <c r="E8" s="5">
        <v>0.22358594548499999</v>
      </c>
      <c r="F8" s="5">
        <v>0.196975037696</v>
      </c>
      <c r="G8" s="5">
        <v>8.6689730440579993</v>
      </c>
      <c r="H8" s="5">
        <v>45.95</v>
      </c>
      <c r="I8" s="5">
        <v>15.5</v>
      </c>
      <c r="J8" s="5">
        <v>14.83</v>
      </c>
      <c r="K8" s="5">
        <v>177.76</v>
      </c>
      <c r="L8" s="6">
        <v>53.44</v>
      </c>
    </row>
    <row r="9" spans="1:12" x14ac:dyDescent="0.3">
      <c r="A9" s="16">
        <v>2020</v>
      </c>
      <c r="B9" s="5">
        <v>4.3325095700249996</v>
      </c>
      <c r="C9" s="5">
        <v>1.078533416909</v>
      </c>
      <c r="D9" s="5">
        <v>0.913022609461</v>
      </c>
      <c r="E9" s="5">
        <v>0.172401689326</v>
      </c>
      <c r="F9" s="5">
        <v>7.1792414964000004E-2</v>
      </c>
      <c r="G9" s="5">
        <v>6.5682597006849992</v>
      </c>
      <c r="H9" s="5">
        <v>-39.44</v>
      </c>
      <c r="I9" s="5">
        <v>-22.6</v>
      </c>
      <c r="J9" s="5">
        <v>-5.68</v>
      </c>
      <c r="K9" s="5">
        <v>-63.55</v>
      </c>
      <c r="L9" s="6">
        <v>-22.89</v>
      </c>
    </row>
    <row r="10" spans="1:12" x14ac:dyDescent="0.3">
      <c r="A10" s="16">
        <v>2021</v>
      </c>
      <c r="B10" s="5">
        <v>8.3801652473560004</v>
      </c>
      <c r="C10" s="5">
        <v>1.4494996937839999</v>
      </c>
      <c r="D10" s="5">
        <v>1.223377059773</v>
      </c>
      <c r="E10" s="5">
        <v>0.31089211648600001</v>
      </c>
      <c r="F10" s="5">
        <v>0.17961553571899999</v>
      </c>
      <c r="G10" s="5">
        <v>11.543549653117999</v>
      </c>
      <c r="H10" s="5">
        <v>33.99</v>
      </c>
      <c r="I10" s="5">
        <v>93.43</v>
      </c>
      <c r="J10" s="5">
        <v>34.4</v>
      </c>
      <c r="K10" s="5">
        <v>150.19</v>
      </c>
      <c r="L10" s="6">
        <v>80.33</v>
      </c>
    </row>
    <row r="11" spans="1:12" x14ac:dyDescent="0.3">
      <c r="A11" s="16">
        <v>2022</v>
      </c>
      <c r="B11" s="5">
        <v>9.3556221331740002</v>
      </c>
      <c r="C11" s="5">
        <v>1.9316804708390001</v>
      </c>
      <c r="D11" s="5">
        <v>2.3055534103089999</v>
      </c>
      <c r="E11" s="5">
        <v>0.34151292673200001</v>
      </c>
      <c r="F11" s="5">
        <v>0.33632304047099998</v>
      </c>
      <c r="G11" s="5">
        <v>14.270691981524999</v>
      </c>
      <c r="H11" s="5">
        <v>88.46</v>
      </c>
      <c r="I11" s="5">
        <v>11.64</v>
      </c>
      <c r="J11" s="5">
        <v>33.270000000000003</v>
      </c>
      <c r="K11" s="5">
        <v>87.25</v>
      </c>
      <c r="L11" s="6">
        <v>9.85</v>
      </c>
    </row>
    <row r="12" spans="1:12" x14ac:dyDescent="0.3">
      <c r="A12" s="16">
        <v>2023</v>
      </c>
      <c r="B12" s="5">
        <v>13.920190621369001</v>
      </c>
      <c r="C12" s="5">
        <v>0.55736267186699995</v>
      </c>
      <c r="D12" s="5">
        <v>2.627192920847</v>
      </c>
      <c r="E12" s="5">
        <v>9.2759754845999992E-2</v>
      </c>
      <c r="F12" s="5">
        <v>1.212789740292</v>
      </c>
      <c r="G12" s="5">
        <v>18.410295709221</v>
      </c>
      <c r="H12" s="5">
        <v>13.95</v>
      </c>
      <c r="I12" s="5">
        <v>48.79</v>
      </c>
      <c r="J12" s="5">
        <v>-71.150000000000006</v>
      </c>
      <c r="K12" s="5">
        <v>260.60000000000002</v>
      </c>
      <c r="L12" s="6">
        <v>-72.84</v>
      </c>
    </row>
    <row r="13" spans="1:12" ht="15" thickBot="1" x14ac:dyDescent="0.35">
      <c r="A13" s="17">
        <v>2024</v>
      </c>
      <c r="B13" s="8">
        <v>14.989031341295</v>
      </c>
      <c r="C13" s="8">
        <v>0.55084697675600003</v>
      </c>
      <c r="D13" s="8">
        <v>3.6877416203590001</v>
      </c>
      <c r="E13" s="8">
        <v>0.12644479909699999</v>
      </c>
      <c r="F13" s="8">
        <v>0.68400620197100004</v>
      </c>
      <c r="G13" s="8">
        <v>20.038070939478001</v>
      </c>
      <c r="H13" s="8">
        <v>40.369999999999997</v>
      </c>
      <c r="I13" s="8">
        <v>7.68</v>
      </c>
      <c r="J13" s="8">
        <v>-1.17</v>
      </c>
      <c r="K13" s="8">
        <v>-43.6</v>
      </c>
      <c r="L13" s="9">
        <v>36.31</v>
      </c>
    </row>
    <row r="14" spans="1:12" x14ac:dyDescent="0.3">
      <c r="G14">
        <f>SUM(G2+G4+G3+G5+G6+G7+G8+G9+G10+G11+G12+G13)</f>
        <v>103.06294397657501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FE2BB-13D5-4BFD-8DE7-3B96733B504F}">
  <dimension ref="A1:F6"/>
  <sheetViews>
    <sheetView tabSelected="1" workbookViewId="0">
      <selection activeCell="D3" sqref="D3"/>
    </sheetView>
  </sheetViews>
  <sheetFormatPr defaultRowHeight="14.4" x14ac:dyDescent="0.3"/>
  <cols>
    <col min="1" max="1" width="11.5546875" bestFit="1" customWidth="1"/>
    <col min="2" max="2" width="14.109375" bestFit="1" customWidth="1"/>
    <col min="3" max="3" width="20.109375" bestFit="1" customWidth="1"/>
    <col min="4" max="4" width="24.109375" bestFit="1" customWidth="1"/>
    <col min="5" max="5" width="15.77734375" bestFit="1" customWidth="1"/>
    <col min="6" max="6" width="19.109375" bestFit="1" customWidth="1"/>
  </cols>
  <sheetData>
    <row r="1" spans="1:6" ht="20.399999999999999" thickBot="1" x14ac:dyDescent="0.45">
      <c r="A1" s="1" t="s">
        <v>12</v>
      </c>
      <c r="B1" s="2"/>
      <c r="C1" s="2"/>
      <c r="D1" s="2"/>
      <c r="E1" s="2"/>
      <c r="F1" s="3"/>
    </row>
    <row r="2" spans="1:6" ht="15" thickTop="1" x14ac:dyDescent="0.3">
      <c r="A2" s="10" t="s">
        <v>14</v>
      </c>
      <c r="B2" s="11" t="s">
        <v>13</v>
      </c>
      <c r="C2" s="11" t="s">
        <v>21</v>
      </c>
      <c r="D2" s="11" t="s">
        <v>20</v>
      </c>
      <c r="E2" s="11" t="s">
        <v>22</v>
      </c>
      <c r="F2" s="12" t="s">
        <v>15</v>
      </c>
    </row>
    <row r="3" spans="1:6" x14ac:dyDescent="0.3">
      <c r="A3" s="4">
        <v>0.25</v>
      </c>
      <c r="B3" s="5" t="s">
        <v>16</v>
      </c>
      <c r="C3" s="5">
        <f>A3*36900000</f>
        <v>9225000</v>
      </c>
      <c r="D3" s="5">
        <f>C3/10000000</f>
        <v>0.92249999999999999</v>
      </c>
      <c r="E3" s="5">
        <f>D3/12 *1000</f>
        <v>76.875</v>
      </c>
      <c r="F3" s="6" t="s">
        <v>23</v>
      </c>
    </row>
    <row r="4" spans="1:6" x14ac:dyDescent="0.3">
      <c r="A4" s="4">
        <v>0.5</v>
      </c>
      <c r="B4" s="5" t="s">
        <v>17</v>
      </c>
      <c r="C4" s="5">
        <f t="shared" ref="C4:C6" si="0">A4*36900000</f>
        <v>18450000</v>
      </c>
      <c r="D4" s="5">
        <f t="shared" ref="D4:D6" si="1">C4/10000000</f>
        <v>1.845</v>
      </c>
      <c r="E4" s="5">
        <f t="shared" ref="E4:E6" si="2">D4/12 *1000</f>
        <v>153.75</v>
      </c>
      <c r="F4" s="6" t="s">
        <v>24</v>
      </c>
    </row>
    <row r="5" spans="1:6" x14ac:dyDescent="0.3">
      <c r="A5" s="4">
        <v>0.75</v>
      </c>
      <c r="B5" s="5" t="s">
        <v>18</v>
      </c>
      <c r="C5" s="5">
        <f t="shared" si="0"/>
        <v>27675000</v>
      </c>
      <c r="D5" s="5">
        <f t="shared" si="1"/>
        <v>2.7675000000000001</v>
      </c>
      <c r="E5" s="5">
        <f t="shared" si="2"/>
        <v>230.625</v>
      </c>
      <c r="F5" s="6" t="s">
        <v>25</v>
      </c>
    </row>
    <row r="6" spans="1:6" ht="15" thickBot="1" x14ac:dyDescent="0.35">
      <c r="A6" s="7">
        <v>1</v>
      </c>
      <c r="B6" s="8" t="s">
        <v>19</v>
      </c>
      <c r="C6" s="8">
        <f t="shared" si="0"/>
        <v>36900000</v>
      </c>
      <c r="D6" s="8">
        <f t="shared" si="1"/>
        <v>3.69</v>
      </c>
      <c r="E6" s="8">
        <f t="shared" si="2"/>
        <v>307.5</v>
      </c>
      <c r="F6" s="9" t="s">
        <v>26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TradeData</vt:lpstr>
      <vt:lpstr>DisruptionModel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Areesha Firdaus</cp:lastModifiedBy>
  <dcterms:created xsi:type="dcterms:W3CDTF">2026-05-21T07:46:28Z</dcterms:created>
  <dcterms:modified xsi:type="dcterms:W3CDTF">2026-05-23T10:22:58Z</dcterms:modified>
</cp:coreProperties>
</file>